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aryan Chouhan\Documents\"/>
    </mc:Choice>
  </mc:AlternateContent>
  <xr:revisionPtr revIDLastSave="0" documentId="13_ncr:1_{FA8388E7-9BA1-4259-B7C1-92B570AD1694}" xr6:coauthVersionLast="47" xr6:coauthVersionMax="47" xr10:uidLastSave="{00000000-0000-0000-0000-000000000000}"/>
  <bookViews>
    <workbookView xWindow="-98" yWindow="-98" windowWidth="22695" windowHeight="14476" activeTab="4" xr2:uid="{8978E9A4-E21E-47C9-A17C-488CF91DB446}"/>
  </bookViews>
  <sheets>
    <sheet name="Monthly_Trend" sheetId="5" r:id="rId1"/>
    <sheet name="Income_vs_Expense" sheetId="6" r:id="rId2"/>
    <sheet name="Raw_Data" sheetId="1" r:id="rId3"/>
    <sheet name="Pivot&amp;Pie" sheetId="2" r:id="rId4"/>
    <sheet name="Dashboard" sheetId="4" r:id="rId5"/>
  </sheets>
  <definedNames>
    <definedName name="Slicer_Category">#N/A</definedName>
    <definedName name="Slicer_Payment_Method">#N/A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4" l="1"/>
  <c r="B2" i="4"/>
  <c r="B1" i="4"/>
</calcChain>
</file>

<file path=xl/sharedStrings.xml><?xml version="1.0" encoding="utf-8"?>
<sst xmlns="http://schemas.openxmlformats.org/spreadsheetml/2006/main" count="108" uniqueCount="44">
  <si>
    <t>Date</t>
  </si>
  <si>
    <t>Category</t>
  </si>
  <si>
    <t>Description</t>
  </si>
  <si>
    <t>Amount</t>
  </si>
  <si>
    <t>Type</t>
  </si>
  <si>
    <t>Payment Method</t>
  </si>
  <si>
    <t>Food</t>
  </si>
  <si>
    <t>Chipotle</t>
  </si>
  <si>
    <t>Expense</t>
  </si>
  <si>
    <t>Card</t>
  </si>
  <si>
    <t>Income</t>
  </si>
  <si>
    <t>Part-Time Job</t>
  </si>
  <si>
    <t>Online</t>
  </si>
  <si>
    <t>Transport</t>
  </si>
  <si>
    <t>Uber</t>
  </si>
  <si>
    <t>Entertainment</t>
  </si>
  <si>
    <t>Netflix</t>
  </si>
  <si>
    <t>Shopping</t>
  </si>
  <si>
    <t>Amazon</t>
  </si>
  <si>
    <t>Bills</t>
  </si>
  <si>
    <t>Phone Bill</t>
  </si>
  <si>
    <t>Education</t>
  </si>
  <si>
    <t>Textbook</t>
  </si>
  <si>
    <t>Starbucks</t>
  </si>
  <si>
    <t>Cash</t>
  </si>
  <si>
    <t>Train Ticket</t>
  </si>
  <si>
    <t>Freelance Work</t>
  </si>
  <si>
    <t>Clothes</t>
  </si>
  <si>
    <t>Movie Ticket</t>
  </si>
  <si>
    <t>McDonalds</t>
  </si>
  <si>
    <t>Internet</t>
  </si>
  <si>
    <t>Course Material</t>
  </si>
  <si>
    <t>Gas</t>
  </si>
  <si>
    <t>Pizza</t>
  </si>
  <si>
    <t>Scholarship</t>
  </si>
  <si>
    <t>Spotify</t>
  </si>
  <si>
    <t>Shoes</t>
  </si>
  <si>
    <t>Row Labels</t>
  </si>
  <si>
    <t>Grand Total</t>
  </si>
  <si>
    <t>Sum of Amount</t>
  </si>
  <si>
    <t>Apr</t>
  </si>
  <si>
    <t>Total Income</t>
  </si>
  <si>
    <t>Total Expenses</t>
  </si>
  <si>
    <t>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</si>
</sst>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[student_expense_dashboard.xlsx]Monthly_Trend!PivotTable2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Monthly_Trend!$B$4</c:f>
              <c:strCache>
                <c:ptCount val="1"/>
                <c:pt idx="0">
                  <c:v>Total</c:v>
                </c:pt>
              </c:strCache>
            </c:strRef>
          </c:tx>
          <c:spPr>
            <a:ln w="28575" cap="rnd">
              <a:solidFill>
                <a:schemeClr val="accent1"/>
              </a:solidFill>
              <a:round/>
            </a:ln>
            <a:effectLst/>
          </c:spPr>
          <c:marker>
            <c:symbol val="none"/>
          </c:marker>
          <c:cat>
            <c:strRef>
              <c:f>Monthly_Trend!$A$5:$A$6</c:f>
              <c:strCache>
                <c:ptCount val="1"/>
                <c:pt idx="0">
                  <c:v>Apr</c:v>
                </c:pt>
              </c:strCache>
            </c:strRef>
          </c:cat>
          <c:val>
            <c:numRef>
              <c:f>Monthly_Trend!$B$5:$B$6</c:f>
              <c:numCache>
                <c:formatCode>General</c:formatCode>
                <c:ptCount val="1"/>
                <c:pt idx="0">
                  <c:v>499</c:v>
                </c:pt>
              </c:numCache>
            </c:numRef>
          </c:val>
          <c:smooth val="0"/>
          <c:extLst>
            <c:ext xmlns:c16="http://schemas.microsoft.com/office/drawing/2014/chart" uri="{C3380CC4-5D6E-409C-BE32-E72D297353CC}">
              <c16:uniqueId val="{00000000-9CFD-4AFC-95B1-40E883D1F342}"/>
            </c:ext>
          </c:extLst>
        </c:ser>
        <c:dLbls>
          <c:showLegendKey val="0"/>
          <c:showVal val="0"/>
          <c:showCatName val="0"/>
          <c:showSerName val="0"/>
          <c:showPercent val="0"/>
          <c:showBubbleSize val="0"/>
        </c:dLbls>
        <c:smooth val="0"/>
        <c:axId val="10407519"/>
        <c:axId val="10404639"/>
      </c:lineChart>
      <c:catAx>
        <c:axId val="1040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639"/>
        <c:crosses val="autoZero"/>
        <c:auto val="1"/>
        <c:lblAlgn val="ctr"/>
        <c:lblOffset val="100"/>
        <c:noMultiLvlLbl val="0"/>
      </c:catAx>
      <c:valAx>
        <c:axId val="1040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[student_expense_dashboard.xlsx]Income_vs_Expense!PivotTable3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Income_vs_Expense!$B$3</c:f>
              <c:strCache>
                <c:ptCount val="1"/>
                <c:pt idx="0">
                  <c:v>Total</c:v>
                </c:pt>
              </c:strCache>
            </c:strRef>
          </c:tx>
          <c:spPr>
            <a:solidFill>
              <a:schemeClr val="accent1"/>
            </a:solidFill>
            <a:ln>
              <a:noFill/>
            </a:ln>
            <a:effectLst/>
          </c:spPr>
          <c:invertIfNegative val="0"/>
          <c:cat>
            <c:strRef>
              <c:f>Income_vs_Expense!$A$4:$A$5</c:f>
              <c:strCache>
                <c:ptCount val="1"/>
                <c:pt idx="0">
                  <c:v>Expense</c:v>
                </c:pt>
              </c:strCache>
            </c:strRef>
          </c:cat>
          <c:val>
            <c:numRef>
              <c:f>Income_vs_Expense!$B$4:$B$5</c:f>
              <c:numCache>
                <c:formatCode>General</c:formatCode>
                <c:ptCount val="1"/>
                <c:pt idx="0">
                  <c:v>499</c:v>
                </c:pt>
              </c:numCache>
            </c:numRef>
          </c:val>
          <c:extLst>
            <c:ext xmlns:c16="http://schemas.microsoft.com/office/drawing/2014/chart" uri="{C3380CC4-5D6E-409C-BE32-E72D297353CC}">
              <c16:uniqueId val="{00000000-46C0-4720-ADAF-DC1BE9128F87}"/>
            </c:ext>
          </c:extLst>
        </c:ser>
        <c:dLbls>
          <c:showLegendKey val="0"/>
          <c:showVal val="0"/>
          <c:showCatName val="0"/>
          <c:showSerName val="0"/>
          <c:showPercent val="0"/>
          <c:showBubbleSize val="0"/>
        </c:dLbls>
        <c:gapWidth val="219"/>
        <c:overlap val="-27"/>
        <c:axId val="264004175"/>
        <c:axId val="264004655"/>
      </c:barChart>
      <c:catAx>
        <c:axId val="2640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04655"/>
        <c:crosses val="autoZero"/>
        <c:auto val="1"/>
        <c:lblAlgn val="ctr"/>
        <c:lblOffset val="100"/>
        <c:noMultiLvlLbl val="0"/>
      </c:catAx>
      <c:valAx>
        <c:axId val="26400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[student_expense_dashboard.xlsx]Pivot&amp;Pie!PivotTable1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'Pivot&amp;Pie'!$B$3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'Pivot&amp;Pie'!$A$4:$A$8</c:f>
              <c:strCache>
                <c:ptCount val="4"/>
                <c:pt idx="0">
                  <c:v>Education</c:v>
                </c:pt>
                <c:pt idx="1">
                  <c:v>Food</c:v>
                </c:pt>
                <c:pt idx="2">
                  <c:v>Shopping</c:v>
                </c:pt>
                <c:pt idx="3">
                  <c:v>Transport</c:v>
                </c:pt>
              </c:strCache>
            </c:strRef>
          </c:cat>
          <c:val>
            <c:numRef>
              <c:f>'Pivot&amp;Pie'!$B$4:$B$8</c:f>
              <c:numCache>
                <c:formatCode>General</c:formatCode>
                <c:ptCount val="4"/>
                <c:pt idx="0">
                  <c:v>145</c:v>
                </c:pt>
                <c:pt idx="1">
                  <c:v>42</c:v>
                </c:pt>
                <c:pt idx="2">
                  <c:v>243</c:v>
                </c:pt>
                <c:pt idx="3">
                  <c:v>69</c:v>
                </c:pt>
              </c:numCache>
            </c:numRef>
          </c:val>
          <c:extLst>
            <c:ext xmlns:c16="http://schemas.microsoft.com/office/drawing/2014/chart" uri="{C3380CC4-5D6E-409C-BE32-E72D297353CC}">
              <c16:uniqueId val="{00000000-CA37-4F3F-9D60-D493F14CB3A2}"/>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[student_expense_dashboard.xlsx]Pivot&amp;Pie!PivotTable1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'Pivot&amp;Pie'!$B$3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1-400C-B34D-5C737E0318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1-400C-B34D-5C737E0318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1-400C-B34D-5C737E0318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A1-400C-B34D-5C737E0318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A1-400C-B34D-5C737E0318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A1-400C-B34D-5C737E0318D0}"/>
              </c:ext>
            </c:extLst>
          </c:dPt>
          <c:cat>
            <c:strRef>
              <c:f>'Pivot&amp;Pie'!$A$4:$A$8</c:f>
              <c:strCache>
                <c:ptCount val="4"/>
                <c:pt idx="0">
                  <c:v>Education</c:v>
                </c:pt>
                <c:pt idx="1">
                  <c:v>Food</c:v>
                </c:pt>
                <c:pt idx="2">
                  <c:v>Shopping</c:v>
                </c:pt>
                <c:pt idx="3">
                  <c:v>Transport</c:v>
                </c:pt>
              </c:strCache>
            </c:strRef>
          </c:cat>
          <c:val>
            <c:numRef>
              <c:f>'Pivot&amp;Pie'!$B$4:$B$8</c:f>
              <c:numCache>
                <c:formatCode>General</c:formatCode>
                <c:ptCount val="4"/>
                <c:pt idx="0">
                  <c:v>145</c:v>
                </c:pt>
                <c:pt idx="1">
                  <c:v>42</c:v>
                </c:pt>
                <c:pt idx="2">
                  <c:v>243</c:v>
                </c:pt>
                <c:pt idx="3">
                  <c:v>69</c:v>
                </c:pt>
              </c:numCache>
            </c:numRef>
          </c:val>
          <c:extLst>
            <c:ext xmlns:c16="http://schemas.microsoft.com/office/drawing/2014/chart" uri="{C3380CC4-5D6E-409C-BE32-E72D297353CC}">
              <c16:uniqueId val="{0000000C-08A1-400C-B34D-5C737E0318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[student_expense_dashboard.xlsx]Monthly_Trend!PivotTable2</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Monthly_Trend!$A$5:$A$6</c:f>
              <c:strCache>
                <c:ptCount val="1"/>
                <c:pt idx="0">
                  <c:v>Apr</c:v>
                </c:pt>
              </c:strCache>
            </c:strRef>
          </c:cat>
          <c:val>
            <c:numRef>
              <c:f>Monthly_Trend!$B$5:$B$6</c:f>
              <c:numCache>
                <c:formatCode>General</c:formatCode>
                <c:ptCount val="1"/>
                <c:pt idx="0">
                  <c:v>499</c:v>
                </c:pt>
              </c:numCache>
            </c:numRef>
          </c:val>
          <c:smooth val="0"/>
          <c:extLst>
            <c:ext xmlns:c16="http://schemas.microsoft.com/office/drawing/2014/chart" uri="{C3380CC4-5D6E-409C-BE32-E72D297353CC}">
              <c16:uniqueId val="{00000000-C4AE-4030-82E1-1B0DEE9AE4B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407519"/>
        <c:axId val="10404639"/>
      </c:lineChart>
      <c:catAx>
        <c:axId val="104075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404639"/>
        <c:crosses val="autoZero"/>
        <c:auto val="1"/>
        <c:lblAlgn val="ctr"/>
        <c:lblOffset val="100"/>
        <c:noMultiLvlLbl val="0"/>
      </c:catAx>
      <c:valAx>
        <c:axId val="1040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0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[student_expense_dashboard.xlsx]Income_vs_Expense!PivotTable3</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Income_vs_Expense!$B$3</c:f>
              <c:strCache>
                <c:ptCount val="1"/>
                <c:pt idx="0">
                  <c:v>Total</c:v>
                </c:pt>
              </c:strCache>
            </c:strRef>
          </c:tx>
          <c:spPr>
            <a:solidFill>
              <a:schemeClr val="accent1"/>
            </a:solidFill>
            <a:ln>
              <a:noFill/>
            </a:ln>
            <a:effectLst/>
          </c:spPr>
          <c:invertIfNegative val="0"/>
          <c:cat>
            <c:strRef>
              <c:f>Income_vs_Expense!$A$4:$A$5</c:f>
              <c:strCache>
                <c:ptCount val="1"/>
                <c:pt idx="0">
                  <c:v>Expense</c:v>
                </c:pt>
              </c:strCache>
            </c:strRef>
          </c:cat>
          <c:val>
            <c:numRef>
              <c:f>Income_vs_Expense!$B$4:$B$5</c:f>
              <c:numCache>
                <c:formatCode>General</c:formatCode>
                <c:ptCount val="1"/>
                <c:pt idx="0">
                  <c:v>499</c:v>
                </c:pt>
              </c:numCache>
            </c:numRef>
          </c:val>
          <c:extLst>
            <c:ext xmlns:c16="http://schemas.microsoft.com/office/drawing/2014/chart" uri="{C3380CC4-5D6E-409C-BE32-E72D297353CC}">
              <c16:uniqueId val="{00000000-10CE-4C32-9287-6D38145B9CC4}"/>
            </c:ext>
          </c:extLst>
        </c:ser>
        <c:dLbls>
          <c:showLegendKey val="0"/>
          <c:showVal val="0"/>
          <c:showCatName val="0"/>
          <c:showSerName val="0"/>
          <c:showPercent val="0"/>
          <c:showBubbleSize val="0"/>
        </c:dLbls>
        <c:gapWidth val="219"/>
        <c:overlap val="-27"/>
        <c:axId val="264004175"/>
        <c:axId val="264004655"/>
      </c:barChart>
      <c:catAx>
        <c:axId val="2640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04655"/>
        <c:crosses val="autoZero"/>
        <c:auto val="1"/>
        <c:lblAlgn val="ctr"/>
        <c:lblOffset val="100"/>
        <c:noMultiLvlLbl val="0"/>
      </c:catAx>
      <c:valAx>
        <c:axId val="26400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983456</xdr:colOff>
      <xdr:row>1</xdr:row>
      <xdr:rowOff>157163</xdr:rowOff>
    </xdr:from>
    <xdr:to>
      <xdr:col>10</xdr:col>
      <xdr:colOff>30956</xdr:colOff>
      <xdr:row>17</xdr:row>
      <xdr:rowOff>4763</xdr:rowOff>
    </xdr:to>
    <xdr:graphicFrame macro="">
      <xdr:nvGraphicFramePr>
        <xdr:cNvPr id="3" name="Chart 2">
          <a:extLst>
            <a:ext uri="{FF2B5EF4-FFF2-40B4-BE49-F238E27FC236}">
              <a16:creationId xmlns:a16="http://schemas.microsoft.com/office/drawing/2014/main" id="{2250ECA7-7A64-357F-99EB-C96A2AA6B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578643</xdr:colOff>
      <xdr:row>9</xdr:row>
      <xdr:rowOff>161925</xdr:rowOff>
    </xdr:from>
    <xdr:to>
      <xdr:col>11</xdr:col>
      <xdr:colOff>616743</xdr:colOff>
      <xdr:row>25</xdr:row>
      <xdr:rowOff>9525</xdr:rowOff>
    </xdr:to>
    <xdr:graphicFrame macro="">
      <xdr:nvGraphicFramePr>
        <xdr:cNvPr id="2" name="Chart 1">
          <a:extLst>
            <a:ext uri="{FF2B5EF4-FFF2-40B4-BE49-F238E27FC236}">
              <a16:creationId xmlns:a16="http://schemas.microsoft.com/office/drawing/2014/main" id="{B30F5FFE-CCFC-998F-09FF-B2B649582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542925</xdr:colOff>
      <xdr:row>9</xdr:row>
      <xdr:rowOff>66675</xdr:rowOff>
    </xdr:from>
    <xdr:to>
      <xdr:col>9</xdr:col>
      <xdr:colOff>428625</xdr:colOff>
      <xdr:row>23</xdr:row>
      <xdr:rowOff>128592</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BB98B5D0-CC47-97D3-C007-5FE98624E4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05375" y="16954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52388</xdr:colOff>
      <xdr:row>10</xdr:row>
      <xdr:rowOff>100012</xdr:rowOff>
    </xdr:from>
    <xdr:to>
      <xdr:col>15</xdr:col>
      <xdr:colOff>585788</xdr:colOff>
      <xdr:row>24</xdr:row>
      <xdr:rowOff>161929</xdr:rowOff>
    </xdr:to>
    <mc:AlternateContent xmlns:mc="http://schemas.openxmlformats.org/markup-compatibility/2006">
      <mc:Choice xmlns:a14="http://schemas.microsoft.com/office/drawing/2010/main" Requires="a14">
        <xdr:graphicFrame macro="">
          <xdr:nvGraphicFramePr>
            <xdr:cNvPr id="4" name="Payment Method">
              <a:extLst>
                <a:ext uri="{FF2B5EF4-FFF2-40B4-BE49-F238E27FC236}">
                  <a16:creationId xmlns:a16="http://schemas.microsoft.com/office/drawing/2014/main" id="{84F0810E-0856-B0E8-7659-411E48E3765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948738" y="190976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64292</xdr:colOff>
      <xdr:row>11</xdr:row>
      <xdr:rowOff>109537</xdr:rowOff>
    </xdr:from>
    <xdr:to>
      <xdr:col>6</xdr:col>
      <xdr:colOff>273842</xdr:colOff>
      <xdr:row>26</xdr:row>
      <xdr:rowOff>138112</xdr:rowOff>
    </xdr:to>
    <xdr:graphicFrame macro="">
      <xdr:nvGraphicFramePr>
        <xdr:cNvPr id="2" name="Chart 1">
          <a:extLst>
            <a:ext uri="{FF2B5EF4-FFF2-40B4-BE49-F238E27FC236}">
              <a16:creationId xmlns:a16="http://schemas.microsoft.com/office/drawing/2014/main" id="{724DCD2E-FB34-1B46-2E2A-C13FAA22B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419100</xdr:colOff>
      <xdr:row>3</xdr:row>
      <xdr:rowOff>47625</xdr:rowOff>
    </xdr:from>
    <xdr:to>
      <xdr:col>8</xdr:col>
      <xdr:colOff>457200</xdr:colOff>
      <xdr:row>18</xdr:row>
      <xdr:rowOff>76200</xdr:rowOff>
    </xdr:to>
    <xdr:graphicFrame macro="">
      <xdr:nvGraphicFramePr>
        <xdr:cNvPr id="2" name="Chart 1">
          <a:extLst>
            <a:ext uri="{FF2B5EF4-FFF2-40B4-BE49-F238E27FC236}">
              <a16:creationId xmlns:a16="http://schemas.microsoft.com/office/drawing/2014/main" id="{5EEE9C7A-7CE6-43A9-82A5-39CF3AFC6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138113</xdr:colOff>
      <xdr:row>3</xdr:row>
      <xdr:rowOff>85725</xdr:rowOff>
    </xdr:from>
    <xdr:to>
      <xdr:col>16</xdr:col>
      <xdr:colOff>176213</xdr:colOff>
      <xdr:row>18</xdr:row>
      <xdr:rowOff>114300</xdr:rowOff>
    </xdr:to>
    <xdr:graphicFrame macro="">
      <xdr:nvGraphicFramePr>
        <xdr:cNvPr id="3" name="Chart 2">
          <a:extLst>
            <a:ext uri="{FF2B5EF4-FFF2-40B4-BE49-F238E27FC236}">
              <a16:creationId xmlns:a16="http://schemas.microsoft.com/office/drawing/2014/main" id="{6A7FCD50-BF37-444E-97FB-C27A75463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290512</xdr:colOff>
      <xdr:row>20</xdr:row>
      <xdr:rowOff>104775</xdr:rowOff>
    </xdr:from>
    <xdr:to>
      <xdr:col>8</xdr:col>
      <xdr:colOff>328612</xdr:colOff>
      <xdr:row>35</xdr:row>
      <xdr:rowOff>133350</xdr:rowOff>
    </xdr:to>
    <xdr:graphicFrame macro="">
      <xdr:nvGraphicFramePr>
        <xdr:cNvPr id="6" name="Chart 5">
          <a:extLst>
            <a:ext uri="{FF2B5EF4-FFF2-40B4-BE49-F238E27FC236}">
              <a16:creationId xmlns:a16="http://schemas.microsoft.com/office/drawing/2014/main" id="{2E781EA2-AFD0-47AD-B59E-8C1E22C6D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209550</xdr:colOff>
      <xdr:row>19</xdr:row>
      <xdr:rowOff>142875</xdr:rowOff>
    </xdr:from>
    <xdr:to>
      <xdr:col>12</xdr:col>
      <xdr:colOff>95250</xdr:colOff>
      <xdr:row>34</xdr:row>
      <xdr:rowOff>23817</xdr:rowOff>
    </xdr:to>
    <mc:AlternateContent xmlns:mc="http://schemas.openxmlformats.org/markup-compatibility/2006">
      <mc:Choice xmlns:a14="http://schemas.microsoft.com/office/drawing/2010/main" Requires="a14">
        <xdr:graphicFrame macro="">
          <xdr:nvGraphicFramePr>
            <xdr:cNvPr id="7" name="Payment Method 1">
              <a:extLst>
                <a:ext uri="{FF2B5EF4-FFF2-40B4-BE49-F238E27FC236}">
                  <a16:creationId xmlns:a16="http://schemas.microsoft.com/office/drawing/2014/main" id="{67CFD275-D8C9-4E3D-B386-2A08BCBB062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6281738" y="3536156"/>
              <a:ext cx="1832372" cy="2559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166688</xdr:colOff>
      <xdr:row>0</xdr:row>
      <xdr:rowOff>147637</xdr:rowOff>
    </xdr:from>
    <xdr:to>
      <xdr:col>14</xdr:col>
      <xdr:colOff>28575</xdr:colOff>
      <xdr:row>2</xdr:row>
      <xdr:rowOff>119063</xdr:rowOff>
    </xdr:to>
    <xdr:sp macro="" textlink="">
      <xdr:nvSpPr>
        <xdr:cNvPr id="8" name="TextBox 7">
          <a:extLst>
            <a:ext uri="{FF2B5EF4-FFF2-40B4-BE49-F238E27FC236}">
              <a16:creationId xmlns:a16="http://schemas.microsoft.com/office/drawing/2014/main" id="{5CAE1790-88F8-7F2A-AE22-7999C3DBEA60}"/>
            </a:ext>
          </a:extLst>
        </xdr:cNvPr>
        <xdr:cNvSpPr txBox="1"/>
      </xdr:nvSpPr>
      <xdr:spPr>
        <a:xfrm>
          <a:off x="5581651" y="147637"/>
          <a:ext cx="3748087" cy="33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Student Expense Tracker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yan Chouhan" refreshedDate="46145.000871412034" createdVersion="8" refreshedVersion="8" minRefreshableVersion="3" recordCount="20" xr:uid="{1295B1D6-D517-44CD-AF9A-E11C3A947C18}">
  <cacheSource type="worksheet">
    <worksheetSource name="Expenses_Table"/>
  </cacheSource>
  <cacheFields count="7">
    <cacheField name="Date" numFmtId="14">
      <sharedItems containsSemiMixedTypes="0" containsNonDate="0" containsDate="1" containsString="0" minDate="2026-04-01T00:00:00" maxDate="2026-04-21T00:00:00" count="2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sharedItems>
      <fieldGroup par="6"/>
    </cacheField>
    <cacheField name="Category" numFmtId="0">
      <sharedItems count="7">
        <s v="Food"/>
        <s v="Income"/>
        <s v="Transport"/>
        <s v="Entertainment"/>
        <s v="Shopping"/>
        <s v="Bills"/>
        <s v="Education"/>
      </sharedItems>
    </cacheField>
    <cacheField name="Description" numFmtId="0">
      <sharedItems count="20">
        <s v="Chipotle"/>
        <s v="Part-Time Job"/>
        <s v="Uber"/>
        <s v="Netflix"/>
        <s v="Amazon"/>
        <s v="Phone Bill"/>
        <s v="Textbook"/>
        <s v="Starbucks"/>
        <s v="Train Ticket"/>
        <s v="Freelance Work"/>
        <s v="Clothes"/>
        <s v="Movie Ticket"/>
        <s v="McDonalds"/>
        <s v="Internet"/>
        <s v="Course Material"/>
        <s v="Gas"/>
        <s v="Pizza"/>
        <s v="Scholarship"/>
        <s v="Spotify"/>
        <s v="Shoes"/>
      </sharedItems>
    </cacheField>
    <cacheField name="Amount" numFmtId="0">
      <sharedItems containsSemiMixedTypes="0" containsString="0" containsNumber="1" containsInteger="1" minValue="9" maxValue="1000" count="20">
        <n v="18"/>
        <n v="500"/>
        <n v="22"/>
        <n v="15"/>
        <n v="48"/>
        <n v="65"/>
        <n v="90"/>
        <n v="9"/>
        <n v="12"/>
        <n v="250"/>
        <n v="75"/>
        <n v="20"/>
        <n v="14"/>
        <n v="40"/>
        <n v="55"/>
        <n v="35"/>
        <n v="24"/>
        <n v="1000"/>
        <n v="11"/>
        <n v="120"/>
      </sharedItems>
    </cacheField>
    <cacheField name="Type" numFmtId="0">
      <sharedItems count="2">
        <s v="Expense"/>
        <s v="Income"/>
      </sharedItems>
    </cacheField>
    <cacheField name="Payment Method" numFmtId="0">
      <sharedItems count="3">
        <s v="Card"/>
        <s v="Online"/>
        <s v="Cash"/>
      </sharedItems>
    </cacheField>
    <cacheField name="Months (Date)" numFmtId="0" databaseField="0">
      <fieldGroup base="0">
        <rangePr groupBy="months" startDate="2026-04-01T00:00:00" endDate="2026-04-21T00:00:00"/>
        <groupItems count="14">
          <s v="&lt;4/1/2026"/>
          <s v="Jan"/>
          <s v="Feb"/>
          <s v="Mar"/>
          <s v="Apr"/>
          <s v="May"/>
          <s v="Jun"/>
          <s v="Jul"/>
          <s v="Aug"/>
          <s v="Sep"/>
          <s v="Oct"/>
          <s v="Nov"/>
          <s v="Dec"/>
          <s v="&gt;4/21/2026"/>
        </groupItems>
      </fieldGroup>
    </cacheField>
  </cacheFields>
  <extLst>
    <ext xmlns:x14="http://schemas.microsoft.com/office/spreadsheetml/2009/9/main" uri="{725AE2AE-9491-48be-B2B4-4EB974FC3084}">
      <x14:pivotCacheDefinition pivotCacheId="782098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r>
  <r>
    <x v="1"/>
    <x v="1"/>
    <x v="1"/>
    <x v="1"/>
    <x v="1"/>
    <x v="1"/>
  </r>
  <r>
    <x v="2"/>
    <x v="2"/>
    <x v="2"/>
    <x v="2"/>
    <x v="0"/>
    <x v="0"/>
  </r>
  <r>
    <x v="3"/>
    <x v="3"/>
    <x v="3"/>
    <x v="3"/>
    <x v="0"/>
    <x v="1"/>
  </r>
  <r>
    <x v="4"/>
    <x v="4"/>
    <x v="4"/>
    <x v="4"/>
    <x v="0"/>
    <x v="0"/>
  </r>
  <r>
    <x v="5"/>
    <x v="5"/>
    <x v="5"/>
    <x v="5"/>
    <x v="0"/>
    <x v="1"/>
  </r>
  <r>
    <x v="6"/>
    <x v="6"/>
    <x v="6"/>
    <x v="6"/>
    <x v="0"/>
    <x v="0"/>
  </r>
  <r>
    <x v="7"/>
    <x v="0"/>
    <x v="7"/>
    <x v="7"/>
    <x v="0"/>
    <x v="2"/>
  </r>
  <r>
    <x v="8"/>
    <x v="2"/>
    <x v="8"/>
    <x v="8"/>
    <x v="0"/>
    <x v="0"/>
  </r>
  <r>
    <x v="9"/>
    <x v="1"/>
    <x v="9"/>
    <x v="9"/>
    <x v="1"/>
    <x v="1"/>
  </r>
  <r>
    <x v="10"/>
    <x v="4"/>
    <x v="10"/>
    <x v="10"/>
    <x v="0"/>
    <x v="0"/>
  </r>
  <r>
    <x v="11"/>
    <x v="3"/>
    <x v="11"/>
    <x v="11"/>
    <x v="0"/>
    <x v="2"/>
  </r>
  <r>
    <x v="12"/>
    <x v="0"/>
    <x v="12"/>
    <x v="12"/>
    <x v="0"/>
    <x v="2"/>
  </r>
  <r>
    <x v="13"/>
    <x v="5"/>
    <x v="13"/>
    <x v="13"/>
    <x v="0"/>
    <x v="1"/>
  </r>
  <r>
    <x v="14"/>
    <x v="6"/>
    <x v="14"/>
    <x v="14"/>
    <x v="0"/>
    <x v="0"/>
  </r>
  <r>
    <x v="15"/>
    <x v="2"/>
    <x v="15"/>
    <x v="15"/>
    <x v="0"/>
    <x v="0"/>
  </r>
  <r>
    <x v="16"/>
    <x v="0"/>
    <x v="16"/>
    <x v="16"/>
    <x v="0"/>
    <x v="0"/>
  </r>
  <r>
    <x v="17"/>
    <x v="1"/>
    <x v="17"/>
    <x v="17"/>
    <x v="1"/>
    <x v="1"/>
  </r>
  <r>
    <x v="18"/>
    <x v="3"/>
    <x v="18"/>
    <x v="18"/>
    <x v="0"/>
    <x v="1"/>
  </r>
  <r>
    <x v="19"/>
    <x v="4"/>
    <x v="19"/>
    <x v="1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E7042-1FF4-4B42-B0D9-D8C1FA77FF3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B6" firstHeaderRow="1" firstDataRow="1" firstDataCol="1" rowPageCount="1" colPageCount="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1">
        <item x="7"/>
        <item x="18"/>
        <item x="8"/>
        <item x="12"/>
        <item x="3"/>
        <item x="0"/>
        <item x="11"/>
        <item x="2"/>
        <item x="16"/>
        <item x="15"/>
        <item x="13"/>
        <item x="4"/>
        <item x="14"/>
        <item x="5"/>
        <item x="10"/>
        <item x="6"/>
        <item x="19"/>
        <item x="9"/>
        <item x="1"/>
        <item x="17"/>
        <item t="default"/>
      </items>
    </pivotField>
    <pivotField axis="axisPage" multipleItemSelectionAllowed="1" showAll="0">
      <items count="3">
        <item x="0"/>
        <item h="1" x="1"/>
        <item t="default"/>
      </items>
    </pivotField>
    <pivotField showAll="0">
      <items count="4">
        <item x="0"/>
        <item h="1" x="2"/>
        <item h="1" x="1"/>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2">
    <i>
      <x v="4"/>
    </i>
    <i t="grand">
      <x/>
    </i>
  </rowItems>
  <colItems count="1">
    <i/>
  </colItems>
  <pageFields count="1">
    <pageField fld="4" hier="-1"/>
  </pageFields>
  <dataFields count="1">
    <dataField name="Sum of Amount" fld="3" baseField="0" baseItem="0"/>
  </dataFields>
  <chartFormats count="3">
    <chartFormat chart="1"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92D3E-F3A4-4276-991F-18BB4FD1C3F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8">
        <item x="5"/>
        <item x="6"/>
        <item x="3"/>
        <item x="0"/>
        <item x="1"/>
        <item x="4"/>
        <item x="2"/>
        <item t="default"/>
      </items>
    </pivotField>
    <pivotField showAll="0"/>
    <pivotField dataField="1" showAll="0"/>
    <pivotField axis="axisRow" showAll="0">
      <items count="3">
        <item x="0"/>
        <item x="1"/>
        <item t="default"/>
      </items>
    </pivotField>
    <pivotField showAll="0">
      <items count="4">
        <item x="0"/>
        <item h="1" x="2"/>
        <item h="1" x="1"/>
        <item t="default"/>
      </items>
    </pivotField>
    <pivotField showAll="0" defaultSubtotal="0">
      <items count="14">
        <item x="0"/>
        <item x="1"/>
        <item x="2"/>
        <item x="3"/>
        <item x="4"/>
        <item x="5"/>
        <item x="6"/>
        <item x="7"/>
        <item x="8"/>
        <item x="9"/>
        <item x="10"/>
        <item x="11"/>
        <item x="12"/>
        <item x="13"/>
      </items>
    </pivotField>
  </pivotFields>
  <rowFields count="1">
    <field x="4"/>
  </rowFields>
  <rowItems count="2">
    <i>
      <x/>
    </i>
    <i t="grand">
      <x/>
    </i>
  </rowItems>
  <colItems count="1">
    <i/>
  </colItems>
  <dataFields count="1">
    <dataField name="Sum of Amount" fld="3" baseField="0" baseItem="0"/>
  </dataFields>
  <chartFormats count="3">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B9C30-0606-4F44-A08B-FC9836B5D6E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rowPageCount="1" colPageCount="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8">
        <item x="5"/>
        <item x="6"/>
        <item x="3"/>
        <item x="0"/>
        <item x="1"/>
        <item x="4"/>
        <item x="2"/>
        <item t="default"/>
      </items>
    </pivotField>
    <pivotField showAll="0"/>
    <pivotField dataField="1" showAll="0"/>
    <pivotField axis="axisPage" multipleItemSelectionAllowed="1" showAll="0">
      <items count="3">
        <item x="0"/>
        <item h="1" x="1"/>
        <item t="default"/>
      </items>
    </pivotField>
    <pivotField showAll="0">
      <items count="4">
        <item x="0"/>
        <item h="1" x="2"/>
        <item h="1" x="1"/>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v="3"/>
    </i>
    <i>
      <x v="5"/>
    </i>
    <i>
      <x v="6"/>
    </i>
    <i t="grand">
      <x/>
    </i>
  </rowItems>
  <colItems count="1">
    <i/>
  </colItems>
  <pageFields count="1">
    <pageField fld="4" hier="-1"/>
  </pageFields>
  <dataFields count="1">
    <dataField name="Sum of Amount" fld="3" baseField="0" baseItem="0"/>
  </dataFields>
  <chartFormats count="8">
    <chartFormat chart="5"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3">
          <reference field="4294967294" count="1" selected="0">
            <x v="0"/>
          </reference>
          <reference field="1" count="1" selected="0">
            <x v="0"/>
          </reference>
          <reference field="4" count="1" selected="0">
            <x v="0"/>
          </reference>
        </references>
      </pivotArea>
    </chartFormat>
    <chartFormat chart="7" format="10">
      <pivotArea type="data" outline="0" fieldPosition="0">
        <references count="3">
          <reference field="4294967294" count="1" selected="0">
            <x v="0"/>
          </reference>
          <reference field="1" count="1" selected="0">
            <x v="1"/>
          </reference>
          <reference field="4" count="1" selected="0">
            <x v="0"/>
          </reference>
        </references>
      </pivotArea>
    </chartFormat>
    <chartFormat chart="7" format="11">
      <pivotArea type="data" outline="0" fieldPosition="0">
        <references count="3">
          <reference field="4294967294" count="1" selected="0">
            <x v="0"/>
          </reference>
          <reference field="1" count="1" selected="0">
            <x v="2"/>
          </reference>
          <reference field="4" count="1" selected="0">
            <x v="0"/>
          </reference>
        </references>
      </pivotArea>
    </chartFormat>
    <chartFormat chart="7" format="12">
      <pivotArea type="data" outline="0" fieldPosition="0">
        <references count="3">
          <reference field="4294967294" count="1" selected="0">
            <x v="0"/>
          </reference>
          <reference field="1" count="1" selected="0">
            <x v="3"/>
          </reference>
          <reference field="4" count="1" selected="0">
            <x v="0"/>
          </reference>
        </references>
      </pivotArea>
    </chartFormat>
    <chartFormat chart="7" format="13">
      <pivotArea type="data" outline="0" fieldPosition="0">
        <references count="3">
          <reference field="4294967294" count="1" selected="0">
            <x v="0"/>
          </reference>
          <reference field="1" count="1" selected="0">
            <x v="5"/>
          </reference>
          <reference field="4" count="1" selected="0">
            <x v="0"/>
          </reference>
        </references>
      </pivotArea>
    </chartFormat>
    <chartFormat chart="7" format="14">
      <pivotArea type="data" outline="0" fieldPosition="0">
        <references count="3">
          <reference field="4294967294" count="1" selected="0">
            <x v="0"/>
          </reference>
          <reference field="1" count="1" selected="0">
            <x v="6"/>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3CC43C-1832-4BC0-82DB-AA034F791BA0}" sourceName="Category">
  <pivotTables>
    <pivotTable tabId="6" name="PivotTable3"/>
  </pivotTables>
  <data>
    <tabular pivotCacheId="782098267">
      <items count="7">
        <i x="6" s="1"/>
        <i x="0" s="1"/>
        <i x="4" s="1"/>
        <i x="2" s="1"/>
        <i x="5" s="1" nd="1"/>
        <i x="3"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150E1DD-9417-407B-B30C-6A4F345071D7}" sourceName="Payment Method">
  <pivotTables>
    <pivotTable tabId="6" name="PivotTable3"/>
    <pivotTable tabId="5" name="PivotTable2"/>
    <pivotTable tabId="2" name="PivotTable1"/>
  </pivotTables>
  <data>
    <tabular pivotCacheId="78209826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2462DA-C03C-436A-80A9-4FFFD32E9C0D}" cache="Slicer_Category" caption="Category" rowHeight="249238"/>
  <slicer name="Payment Method" xr10:uid="{570FB4BD-4E16-4BCD-A2BE-54A6AE96DAB1}" cache="Slicer_Payment_Method" caption="Payment Method"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23B44EEB-86CD-4E6E-BDE5-027BAA5A2F4C}" cache="Slicer_Payment_Method" caption="Payment Method"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199F1B-60E1-4220-A08C-64963929C394}" name="Expenses_Table" displayName="Expenses_Table" ref="A1:F21" totalsRowShown="0">
  <autoFilter ref="A1:F21" xr:uid="{85199F1B-60E1-4220-A08C-64963929C394}"/>
  <tableColumns count="6">
    <tableColumn id="1" xr3:uid="{2AB5B3D7-C678-4101-99C4-A4090F622F5B}" name="Date" dataDxfId="0"/>
    <tableColumn id="2" xr3:uid="{66D4B7D6-C4B1-4791-9481-2D653D226FFD}" name="Category"/>
    <tableColumn id="3" xr3:uid="{B8B3C38C-E19E-4D52-AC17-2C25D8E84EE5}" name="Description"/>
    <tableColumn id="4" xr3:uid="{25DA9B26-6F81-4F74-9ACC-1A0DE31F8EB0}" name="Amount"/>
    <tableColumn id="5" xr3:uid="{B45E47E9-E8CB-4032-9515-D2B8FF866B83}" name="Type"/>
    <tableColumn id="6" xr3:uid="{3F0EB7B5-2538-4E9A-A78A-46F23EBA6BF4}"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52F0-C424-4789-BD3F-C5D13E3E14BC}">
  <dimension ref="A2:B6"/>
  <sheetViews>
    <sheetView workbookViewId="0">
      <selection activeCell="B5" sqref="B5"/>
    </sheetView>
  </sheetViews>
  <sheetFormatPr defaultRowHeight="14.25" x14ac:dyDescent="0.45"/>
  <cols>
    <col min="1" max="1" width="11.9296875" bestFit="1" customWidth="1"/>
    <col min="2" max="2" width="12.86328125" bestFit="1" customWidth="1"/>
    <col min="3" max="3" width="13.86328125" bestFit="1" customWidth="1"/>
  </cols>
  <sheetData>
    <row r="2" spans="1:2" x14ac:dyDescent="0.45">
      <c r="A2" s="2" t="s">
        <v>4</v>
      </c>
      <c r="B2" t="s">
        <v>8</v>
      </c>
    </row>
    <row r="4" spans="1:2" x14ac:dyDescent="0.45">
      <c r="A4" s="2" t="s">
        <v>37</v>
      </c>
      <c r="B4" t="s">
        <v>39</v>
      </c>
    </row>
    <row r="5" spans="1:2" x14ac:dyDescent="0.45">
      <c r="A5" s="3" t="s">
        <v>40</v>
      </c>
      <c r="B5" s="4">
        <v>499</v>
      </c>
    </row>
    <row r="6" spans="1:2" x14ac:dyDescent="0.45">
      <c r="A6" s="3" t="s">
        <v>38</v>
      </c>
      <c r="B6" s="4">
        <v>499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692D-4E88-4A17-A91D-8E18CB74D0D3}">
  <dimension ref="A3:B5"/>
  <sheetViews>
    <sheetView workbookViewId="0">
      <selection activeCell="B5" sqref="B5"/>
    </sheetView>
  </sheetViews>
  <sheetFormatPr defaultRowHeight="14.25" x14ac:dyDescent="0.45"/>
  <cols>
    <col min="1" max="1" width="11.9296875" bestFit="1" customWidth="1"/>
    <col min="2" max="2" width="12.86328125" bestFit="1" customWidth="1"/>
  </cols>
  <sheetData>
    <row r="3" spans="1:2" x14ac:dyDescent="0.45">
      <c r="A3" s="2" t="s">
        <v>37</v>
      </c>
      <c r="B3" t="s">
        <v>39</v>
      </c>
    </row>
    <row r="4" spans="1:2" x14ac:dyDescent="0.45">
      <c r="A4" s="3" t="s">
        <v>8</v>
      </c>
      <c r="B4" s="4">
        <v>499</v>
      </c>
    </row>
    <row r="5" spans="1:2" x14ac:dyDescent="0.45">
      <c r="A5" s="3" t="s">
        <v>38</v>
      </c>
      <c r="B5" s="4">
        <v>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0B7A-E37E-4494-911C-E34AB5C9ECD9}">
  <dimension ref="A1:F21"/>
  <sheetViews>
    <sheetView workbookViewId="0">
      <selection activeCell="F11" sqref="F11"/>
    </sheetView>
  </sheetViews>
  <sheetFormatPr defaultRowHeight="14.25" x14ac:dyDescent="0.45"/>
  <cols>
    <col min="1" max="1" width="8.9296875" bestFit="1" customWidth="1"/>
    <col min="2" max="2" width="11.9296875" bestFit="1" customWidth="1"/>
    <col min="3" max="3" width="13.06640625" bestFit="1" customWidth="1"/>
    <col min="4" max="4" width="8.796875" customWidth="1"/>
    <col min="5" max="5" width="7.265625" bestFit="1" customWidth="1"/>
    <col min="6" max="6" width="15.9296875" customWidth="1"/>
  </cols>
  <sheetData>
    <row r="1" spans="1:6" x14ac:dyDescent="0.45">
      <c r="A1" t="s">
        <v>0</v>
      </c>
      <c r="B1" t="s">
        <v>1</v>
      </c>
      <c r="C1" t="s">
        <v>2</v>
      </c>
      <c r="D1" t="s">
        <v>3</v>
      </c>
      <c r="E1" t="s">
        <v>4</v>
      </c>
      <c r="F1" t="s">
        <v>5</v>
      </c>
    </row>
    <row r="2" spans="1:6" x14ac:dyDescent="0.45">
      <c r="A2" s="1">
        <v>46113</v>
      </c>
      <c r="B2" t="s">
        <v>6</v>
      </c>
      <c r="C2" t="s">
        <v>7</v>
      </c>
      <c r="D2">
        <v>18</v>
      </c>
      <c r="E2" t="s">
        <v>8</v>
      </c>
      <c r="F2" t="s">
        <v>9</v>
      </c>
    </row>
    <row r="3" spans="1:6" x14ac:dyDescent="0.45">
      <c r="A3" s="1">
        <v>46114</v>
      </c>
      <c r="B3" t="s">
        <v>10</v>
      </c>
      <c r="C3" t="s">
        <v>11</v>
      </c>
      <c r="D3">
        <v>500</v>
      </c>
      <c r="E3" t="s">
        <v>10</v>
      </c>
      <c r="F3" t="s">
        <v>12</v>
      </c>
    </row>
    <row r="4" spans="1:6" x14ac:dyDescent="0.45">
      <c r="A4" s="1">
        <v>46115</v>
      </c>
      <c r="B4" t="s">
        <v>13</v>
      </c>
      <c r="C4" t="s">
        <v>14</v>
      </c>
      <c r="D4">
        <v>22</v>
      </c>
      <c r="E4" t="s">
        <v>8</v>
      </c>
      <c r="F4" t="s">
        <v>9</v>
      </c>
    </row>
    <row r="5" spans="1:6" x14ac:dyDescent="0.45">
      <c r="A5" s="1">
        <v>46116</v>
      </c>
      <c r="B5" t="s">
        <v>15</v>
      </c>
      <c r="C5" t="s">
        <v>16</v>
      </c>
      <c r="D5">
        <v>15</v>
      </c>
      <c r="E5" t="s">
        <v>8</v>
      </c>
      <c r="F5" t="s">
        <v>12</v>
      </c>
    </row>
    <row r="6" spans="1:6" x14ac:dyDescent="0.45">
      <c r="A6" s="1">
        <v>46117</v>
      </c>
      <c r="B6" t="s">
        <v>17</v>
      </c>
      <c r="C6" t="s">
        <v>18</v>
      </c>
      <c r="D6">
        <v>48</v>
      </c>
      <c r="E6" t="s">
        <v>8</v>
      </c>
      <c r="F6" t="s">
        <v>9</v>
      </c>
    </row>
    <row r="7" spans="1:6" x14ac:dyDescent="0.45">
      <c r="A7" s="1">
        <v>46118</v>
      </c>
      <c r="B7" t="s">
        <v>19</v>
      </c>
      <c r="C7" t="s">
        <v>20</v>
      </c>
      <c r="D7">
        <v>65</v>
      </c>
      <c r="E7" t="s">
        <v>8</v>
      </c>
      <c r="F7" t="s">
        <v>12</v>
      </c>
    </row>
    <row r="8" spans="1:6" x14ac:dyDescent="0.45">
      <c r="A8" s="1">
        <v>46119</v>
      </c>
      <c r="B8" t="s">
        <v>21</v>
      </c>
      <c r="C8" t="s">
        <v>22</v>
      </c>
      <c r="D8">
        <v>90</v>
      </c>
      <c r="E8" t="s">
        <v>8</v>
      </c>
      <c r="F8" t="s">
        <v>9</v>
      </c>
    </row>
    <row r="9" spans="1:6" x14ac:dyDescent="0.45">
      <c r="A9" s="1">
        <v>46120</v>
      </c>
      <c r="B9" t="s">
        <v>6</v>
      </c>
      <c r="C9" t="s">
        <v>23</v>
      </c>
      <c r="D9">
        <v>9</v>
      </c>
      <c r="E9" t="s">
        <v>8</v>
      </c>
      <c r="F9" t="s">
        <v>24</v>
      </c>
    </row>
    <row r="10" spans="1:6" x14ac:dyDescent="0.45">
      <c r="A10" s="1">
        <v>46121</v>
      </c>
      <c r="B10" t="s">
        <v>13</v>
      </c>
      <c r="C10" t="s">
        <v>25</v>
      </c>
      <c r="D10">
        <v>12</v>
      </c>
      <c r="E10" t="s">
        <v>8</v>
      </c>
      <c r="F10" t="s">
        <v>9</v>
      </c>
    </row>
    <row r="11" spans="1:6" x14ac:dyDescent="0.45">
      <c r="A11" s="1">
        <v>46122</v>
      </c>
      <c r="B11" t="s">
        <v>10</v>
      </c>
      <c r="C11" t="s">
        <v>26</v>
      </c>
      <c r="D11">
        <v>250</v>
      </c>
      <c r="E11" t="s">
        <v>10</v>
      </c>
      <c r="F11" t="s">
        <v>12</v>
      </c>
    </row>
    <row r="12" spans="1:6" x14ac:dyDescent="0.45">
      <c r="A12" s="1">
        <v>46123</v>
      </c>
      <c r="B12" t="s">
        <v>17</v>
      </c>
      <c r="C12" t="s">
        <v>27</v>
      </c>
      <c r="D12">
        <v>75</v>
      </c>
      <c r="E12" t="s">
        <v>8</v>
      </c>
      <c r="F12" t="s">
        <v>9</v>
      </c>
    </row>
    <row r="13" spans="1:6" x14ac:dyDescent="0.45">
      <c r="A13" s="1">
        <v>46124</v>
      </c>
      <c r="B13" t="s">
        <v>15</v>
      </c>
      <c r="C13" t="s">
        <v>28</v>
      </c>
      <c r="D13">
        <v>20</v>
      </c>
      <c r="E13" t="s">
        <v>8</v>
      </c>
      <c r="F13" t="s">
        <v>24</v>
      </c>
    </row>
    <row r="14" spans="1:6" x14ac:dyDescent="0.45">
      <c r="A14" s="1">
        <v>46125</v>
      </c>
      <c r="B14" t="s">
        <v>6</v>
      </c>
      <c r="C14" t="s">
        <v>29</v>
      </c>
      <c r="D14">
        <v>14</v>
      </c>
      <c r="E14" t="s">
        <v>8</v>
      </c>
      <c r="F14" t="s">
        <v>24</v>
      </c>
    </row>
    <row r="15" spans="1:6" x14ac:dyDescent="0.45">
      <c r="A15" s="1">
        <v>46126</v>
      </c>
      <c r="B15" t="s">
        <v>19</v>
      </c>
      <c r="C15" t="s">
        <v>30</v>
      </c>
      <c r="D15">
        <v>40</v>
      </c>
      <c r="E15" t="s">
        <v>8</v>
      </c>
      <c r="F15" t="s">
        <v>12</v>
      </c>
    </row>
    <row r="16" spans="1:6" x14ac:dyDescent="0.45">
      <c r="A16" s="1">
        <v>46127</v>
      </c>
      <c r="B16" t="s">
        <v>21</v>
      </c>
      <c r="C16" t="s">
        <v>31</v>
      </c>
      <c r="D16">
        <v>55</v>
      </c>
      <c r="E16" t="s">
        <v>8</v>
      </c>
      <c r="F16" t="s">
        <v>9</v>
      </c>
    </row>
    <row r="17" spans="1:6" x14ac:dyDescent="0.45">
      <c r="A17" s="1">
        <v>46128</v>
      </c>
      <c r="B17" t="s">
        <v>13</v>
      </c>
      <c r="C17" t="s">
        <v>32</v>
      </c>
      <c r="D17">
        <v>35</v>
      </c>
      <c r="E17" t="s">
        <v>8</v>
      </c>
      <c r="F17" t="s">
        <v>9</v>
      </c>
    </row>
    <row r="18" spans="1:6" x14ac:dyDescent="0.45">
      <c r="A18" s="1">
        <v>46129</v>
      </c>
      <c r="B18" t="s">
        <v>6</v>
      </c>
      <c r="C18" t="s">
        <v>33</v>
      </c>
      <c r="D18">
        <v>24</v>
      </c>
      <c r="E18" t="s">
        <v>8</v>
      </c>
      <c r="F18" t="s">
        <v>9</v>
      </c>
    </row>
    <row r="19" spans="1:6" x14ac:dyDescent="0.45">
      <c r="A19" s="1">
        <v>46130</v>
      </c>
      <c r="B19" t="s">
        <v>10</v>
      </c>
      <c r="C19" t="s">
        <v>34</v>
      </c>
      <c r="D19">
        <v>1000</v>
      </c>
      <c r="E19" t="s">
        <v>10</v>
      </c>
      <c r="F19" t="s">
        <v>12</v>
      </c>
    </row>
    <row r="20" spans="1:6" x14ac:dyDescent="0.45">
      <c r="A20" s="1">
        <v>46131</v>
      </c>
      <c r="B20" t="s">
        <v>15</v>
      </c>
      <c r="C20" t="s">
        <v>35</v>
      </c>
      <c r="D20">
        <v>11</v>
      </c>
      <c r="E20" t="s">
        <v>8</v>
      </c>
      <c r="F20" t="s">
        <v>12</v>
      </c>
    </row>
    <row r="21" spans="1:6" x14ac:dyDescent="0.45">
      <c r="A21" s="1">
        <v>46132</v>
      </c>
      <c r="B21" t="s">
        <v>17</v>
      </c>
      <c r="C21" t="s">
        <v>36</v>
      </c>
      <c r="D21">
        <v>120</v>
      </c>
      <c r="E21" t="s">
        <v>8</v>
      </c>
      <c r="F21"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70BC-E264-4657-BB35-57F60F39FBD2}">
  <dimension ref="A1:B8"/>
  <sheetViews>
    <sheetView workbookViewId="0">
      <selection activeCell="B7" sqref="B7"/>
    </sheetView>
  </sheetViews>
  <sheetFormatPr defaultRowHeight="14.25" x14ac:dyDescent="0.45"/>
  <cols>
    <col min="1" max="1" width="11.9296875" bestFit="1" customWidth="1"/>
    <col min="2" max="2" width="12.86328125" bestFit="1" customWidth="1"/>
  </cols>
  <sheetData>
    <row r="1" spans="1:2" x14ac:dyDescent="0.45">
      <c r="A1" s="2" t="s">
        <v>4</v>
      </c>
      <c r="B1" t="s">
        <v>8</v>
      </c>
    </row>
    <row r="3" spans="1:2" x14ac:dyDescent="0.45">
      <c r="A3" s="2" t="s">
        <v>37</v>
      </c>
      <c r="B3" t="s">
        <v>39</v>
      </c>
    </row>
    <row r="4" spans="1:2" x14ac:dyDescent="0.45">
      <c r="A4" s="3" t="s">
        <v>21</v>
      </c>
      <c r="B4" s="4">
        <v>145</v>
      </c>
    </row>
    <row r="5" spans="1:2" x14ac:dyDescent="0.45">
      <c r="A5" s="3" t="s">
        <v>6</v>
      </c>
      <c r="B5" s="4">
        <v>42</v>
      </c>
    </row>
    <row r="6" spans="1:2" x14ac:dyDescent="0.45">
      <c r="A6" s="3" t="s">
        <v>17</v>
      </c>
      <c r="B6" s="4">
        <v>243</v>
      </c>
    </row>
    <row r="7" spans="1:2" x14ac:dyDescent="0.45">
      <c r="A7" s="3" t="s">
        <v>13</v>
      </c>
      <c r="B7" s="4">
        <v>69</v>
      </c>
    </row>
    <row r="8" spans="1:2" x14ac:dyDescent="0.45">
      <c r="A8" s="3" t="s">
        <v>38</v>
      </c>
      <c r="B8" s="4">
        <v>499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E76F-F7C4-434F-8258-8AB5FD53AB3C}">
  <dimension ref="A1:B3"/>
  <sheetViews>
    <sheetView showGridLines="0" showRowColHeaders="0" tabSelected="1" zoomScale="80" zoomScaleNormal="80" workbookViewId="0">
      <selection activeCell="N27" sqref="N27"/>
    </sheetView>
  </sheetViews>
  <sheetFormatPr defaultRowHeight="14.25" x14ac:dyDescent="0.45"/>
  <cols>
    <col min="1" max="1" width="12.33203125" bestFit="1" customWidth="1"/>
  </cols>
  <sheetData>
    <row r="1" spans="1:2" x14ac:dyDescent="0.45">
      <c r="A1" t="s">
        <v>41</v>
      </c>
      <c r="B1">
        <f>SUMIFS(Raw_Data!D:D,Raw_Data!E:E,"Income")</f>
        <v>1750</v>
      </c>
    </row>
    <row r="2" spans="1:2" x14ac:dyDescent="0.45">
      <c r="A2" t="s">
        <v>42</v>
      </c>
      <c r="B2">
        <f>SUMIFS(Raw_Data!D:D,Raw_Data!E:E,"Expense")</f>
        <v>673</v>
      </c>
    </row>
    <row r="3" spans="1:2" x14ac:dyDescent="0.45">
      <c r="A3" t="s">
        <v>43</v>
      </c>
      <c r="B3">
        <f>B1-B2</f>
        <v>1077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Monthly_Trend</vt:lpstr>
      <vt:lpstr>Income_vs_Expense</vt:lpstr>
      <vt:lpstr>Raw_Data</vt:lpstr>
      <vt:lpstr>Pivot&amp;Pie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TRADEKINGS GROUP</dc:creator>
  <cp:lastModifiedBy>TRADEKINGS GROUP</cp:lastModifiedBy>
  <cp:lastPrinted>2026-05-06T05:11:27Z</cp:lastPrinted>
  <dcterms:created xsi:type="dcterms:W3CDTF">2026-05-03T03:57:01Z</dcterms:created>
  <dcterms:modified xsi:type="dcterms:W3CDTF">2026-05-06T06:38:35Z</dcterms:modified>
</cp:coreProperties>
</file>